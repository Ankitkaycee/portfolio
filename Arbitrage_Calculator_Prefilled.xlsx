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8d81cdc06afed6/Documents/"/>
    </mc:Choice>
  </mc:AlternateContent>
  <xr:revisionPtr revIDLastSave="53" documentId="8_{99202092-8377-438E-AFA9-5CFFC1EF2AE7}" xr6:coauthVersionLast="47" xr6:coauthVersionMax="47" xr10:uidLastSave="{6DBB5533-CBD1-41D8-B45F-32DDEEFCBD79}"/>
  <bookViews>
    <workbookView minimized="1" xWindow="7425" yWindow="5910" windowWidth="21600" windowHeight="11295" xr2:uid="{00000000-000D-0000-FFFF-FFFF00000000}"/>
  </bookViews>
  <sheets>
    <sheet name="Arbitrag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7" i="1" l="1"/>
  <c r="D3" i="1"/>
  <c r="E3" i="1"/>
  <c r="D6" i="1"/>
  <c r="D5" i="1"/>
  <c r="D4" i="1"/>
  <c r="E4" i="1"/>
</calcChain>
</file>

<file path=xl/sharedStrings.xml><?xml version="1.0" encoding="utf-8"?>
<sst xmlns="http://schemas.openxmlformats.org/spreadsheetml/2006/main" count="19" uniqueCount="16">
  <si>
    <t>Outcome</t>
  </si>
  <si>
    <t>Bookmaker Odds</t>
  </si>
  <si>
    <t>Stake</t>
  </si>
  <si>
    <t>Payout</t>
  </si>
  <si>
    <t>Profit/Loss</t>
  </si>
  <si>
    <t>Team A Wins</t>
  </si>
  <si>
    <t>Team B Wins</t>
  </si>
  <si>
    <t>Label</t>
  </si>
  <si>
    <t>Total Stake</t>
  </si>
  <si>
    <t>Total Implied Probability</t>
  </si>
  <si>
    <t>Bookmaker Odds (Enter Odds)</t>
  </si>
  <si>
    <t>Stake (Auto-calculated)</t>
  </si>
  <si>
    <t>Payout (Auto-calculated)</t>
  </si>
  <si>
    <t>Profit/Loss (Auto-calculated)</t>
  </si>
  <si>
    <t>Helper Cells</t>
  </si>
  <si>
    <t>Enter Total Stake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</si>
</sst>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45" zoomScaleNormal="145" workbookViewId="0">
      <selection activeCell="D5" sqref="D5"/>
    </sheetView>
  </sheetViews>
  <sheetFormatPr defaultRowHeight="15" x14ac:dyDescent="0.25"/>
  <cols>
    <col min="1" max="7" width="17.7109375" customWidth="1"/>
    <col min="8" max="9" width="19.7109375" customWidth="1"/>
  </cols>
  <sheetData>
    <row r="1" spans="1:7" ht="18.95" customHeight="1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7</v>
      </c>
    </row>
    <row r="2" spans="1:7" ht="18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15</v>
      </c>
      <c r="G2" t="s">
        <v>8</v>
      </c>
    </row>
    <row r="3" spans="1:7" ht="18.95" customHeight="1" x14ac:dyDescent="0.25">
      <c r="A3" t="s">
        <v>5</v>
      </c>
      <c r="B3">
        <v>1.95</v>
      </c>
      <c r="C3">
        <v>100</v>
      </c>
      <c r="D3">
        <f ca="1">D5/B3</f>
        <v>512.82051282051282</v>
      </c>
      <c r="E3">
        <f ca="1">D3</f>
        <v>512.82051282051282</v>
      </c>
      <c r="F3" t="s">
        <v>8</v>
      </c>
      <c r="G3" t="s">
        <v>9</v>
      </c>
    </row>
    <row r="4" spans="1:7" ht="18.95" customHeight="1" x14ac:dyDescent="0.25">
      <c r="A4" t="s">
        <v>6</v>
      </c>
      <c r="B4">
        <v>2.1</v>
      </c>
      <c r="C4">
        <v>100</v>
      </c>
      <c r="D4">
        <f ca="1">D5/B4</f>
        <v>476.19047619047615</v>
      </c>
      <c r="E4">
        <f ca="1">D4-E3</f>
        <v>-36.63003663003667</v>
      </c>
      <c r="F4" t="s">
        <v>9</v>
      </c>
      <c r="G4" t="e">
        <f>SUM(1/B2, 1/B3)</f>
        <v>#VALUE!</v>
      </c>
    </row>
    <row r="5" spans="1:7" x14ac:dyDescent="0.25">
      <c r="D5">
        <f ca="1">D4+D3</f>
        <v>0</v>
      </c>
    </row>
    <row r="6" spans="1:7" x14ac:dyDescent="0.25">
      <c r="D6">
        <f ca="1">D4+D4</f>
        <v>0</v>
      </c>
    </row>
    <row r="7" spans="1:7" x14ac:dyDescent="0.25">
      <c r="D7">
        <f ca="1">D3+D4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2024-10-29T08:59:14Z</dcterms:created>
  <dcterms:modified xsi:type="dcterms:W3CDTF">2024-10-29T09:24:49Z</dcterms:modified>
</cp:coreProperties>
</file>